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" sheetId="1" r:id="rId4"/>
    <sheet state="visible" name="SUMMARY " sheetId="2" r:id="rId5"/>
    <sheet state="visible" name="TEST PLAN TEMPLATE " sheetId="3" r:id="rId6"/>
    <sheet state="visible" name="Game Settings" sheetId="4" r:id="rId7"/>
    <sheet state="visible" name="Gym Scheduling" sheetId="5" r:id="rId8"/>
  </sheets>
  <definedNames/>
  <calcPr/>
  <extLst>
    <ext uri="GoogleSheetsCustomDataVersion2">
      <go:sheetsCustomData xmlns:go="http://customooxmlschemas.google.com/" r:id="rId9" roundtripDataChecksum="w4Cb0PAugFtzFZ+H6jVKtgyPHVYKylPER+dWEToNx9k="/>
    </ext>
  </extLst>
</workbook>
</file>

<file path=xl/sharedStrings.xml><?xml version="1.0" encoding="utf-8"?>
<sst xmlns="http://schemas.openxmlformats.org/spreadsheetml/2006/main" count="200" uniqueCount="113">
  <si>
    <t>Instruction</t>
  </si>
  <si>
    <t xml:space="preserve">FOR TEST PLAN </t>
  </si>
  <si>
    <t xml:space="preserve">1. Create a test plan that for each component </t>
  </si>
  <si>
    <t xml:space="preserve">2. Identify the following: total number of test cases,  count of passed and failed; and remarks for each component </t>
  </si>
  <si>
    <t xml:space="preserve">3. See the sample test plan template </t>
  </si>
  <si>
    <t xml:space="preserve">4. Create a summary (entry and exit point report) of the test plan </t>
  </si>
  <si>
    <t xml:space="preserve">FOR SURVEY </t>
  </si>
  <si>
    <t xml:space="preserve">1. Please see the sample survey in the sample evaluation sheet </t>
  </si>
  <si>
    <t xml:space="preserve">2. Check the frequency sheet and you may use it as your guide or template for recording the survey </t>
  </si>
  <si>
    <t xml:space="preserve">3. See the sample likert scale sheet for your reference </t>
  </si>
  <si>
    <t xml:space="preserve">4. For practice, you may have 10 respondents  </t>
  </si>
  <si>
    <t xml:space="preserve">after conducting the test plan and survey create a report for the result of testing if all the components are functional, as well as the perception of all the respondents in your developed project. </t>
  </si>
  <si>
    <t xml:space="preserve">PROJECT NAME </t>
  </si>
  <si>
    <t xml:space="preserve">Ordering System </t>
  </si>
  <si>
    <t xml:space="preserve">Prepared by: </t>
  </si>
  <si>
    <t>Date:</t>
  </si>
  <si>
    <t xml:space="preserve">Component No. </t>
  </si>
  <si>
    <t xml:space="preserve">Component Name </t>
  </si>
  <si>
    <t xml:space="preserve">No. of Test Cases </t>
  </si>
  <si>
    <t>No. of Test Cases Executed</t>
  </si>
  <si>
    <t xml:space="preserve">No. of tests Passed </t>
  </si>
  <si>
    <t xml:space="preserve">Rate </t>
  </si>
  <si>
    <t xml:space="preserve">No. of tests Failed  </t>
  </si>
  <si>
    <t xml:space="preserve">REMARKS </t>
  </si>
  <si>
    <t>Login</t>
  </si>
  <si>
    <t xml:space="preserve">registration </t>
  </si>
  <si>
    <t xml:space="preserve">scheduling </t>
  </si>
  <si>
    <t>profile</t>
  </si>
  <si>
    <t xml:space="preserve">Total </t>
  </si>
  <si>
    <t xml:space="preserve">Test ID </t>
  </si>
  <si>
    <t>CA - 001</t>
  </si>
  <si>
    <t xml:space="preserve">Module Name </t>
  </si>
  <si>
    <t>Student Module  - Service Component</t>
  </si>
  <si>
    <t xml:space="preserve">Description </t>
  </si>
  <si>
    <t xml:space="preserve">This component allws the student to avail the guidance counselling service and schedule an appointment </t>
  </si>
  <si>
    <t xml:space="preserve">Precondition </t>
  </si>
  <si>
    <t xml:space="preserve">student already has an account </t>
  </si>
  <si>
    <t xml:space="preserve">Post Condition </t>
  </si>
  <si>
    <t xml:space="preserve">Mam' Era </t>
  </si>
  <si>
    <t xml:space="preserve">Executed by: </t>
  </si>
  <si>
    <t xml:space="preserve">Forte </t>
  </si>
  <si>
    <t xml:space="preserve">Test No. </t>
  </si>
  <si>
    <t xml:space="preserve">Test Case </t>
  </si>
  <si>
    <t xml:space="preserve">Test Steps </t>
  </si>
  <si>
    <t xml:space="preserve">Test Data </t>
  </si>
  <si>
    <t xml:space="preserve">Expected Result </t>
  </si>
  <si>
    <t xml:space="preserve">Actual Result </t>
  </si>
  <si>
    <t xml:space="preserve">Remarks </t>
  </si>
  <si>
    <t xml:space="preserve">Screenshot </t>
  </si>
  <si>
    <t xml:space="preserve">CA - 001 - 1 </t>
  </si>
  <si>
    <t>Service Component</t>
  </si>
  <si>
    <t>1. Navigate to services page</t>
  </si>
  <si>
    <t xml:space="preserve">display create an account page </t>
  </si>
  <si>
    <t>as expectd</t>
  </si>
  <si>
    <t>passed</t>
  </si>
  <si>
    <t xml:space="preserve">2. Select mode of counselling:
- face to face
-online </t>
  </si>
  <si>
    <t xml:space="preserve">Name: Glydel Bona 
Gender: F
Birthdate: June 18, 2003
Position: Cashier </t>
  </si>
  <si>
    <t xml:space="preserve">Accepts and display test data in the placeholder </t>
  </si>
  <si>
    <t xml:space="preserve">as expected </t>
  </si>
  <si>
    <t xml:space="preserve">3. Select schedule
- date
- time </t>
  </si>
  <si>
    <t xml:space="preserve">Test data will be saved in the database and will display a prompt message "Successfully added new employee" </t>
  </si>
  <si>
    <t xml:space="preserve">display message is different </t>
  </si>
  <si>
    <t>failed</t>
  </si>
  <si>
    <t xml:space="preserve">4. Review the schedule details </t>
  </si>
  <si>
    <t xml:space="preserve">5. save the schedule </t>
  </si>
  <si>
    <t xml:space="preserve">6. receive confirmation approva  via email and application notification </t>
  </si>
  <si>
    <t>waiting for confirmation via notification</t>
  </si>
  <si>
    <t xml:space="preserve">confuse how to wait for confirmation </t>
  </si>
  <si>
    <t xml:space="preserve">TOTAL </t>
  </si>
  <si>
    <t xml:space="preserve">PASSED </t>
  </si>
  <si>
    <t xml:space="preserve">FAILED </t>
  </si>
  <si>
    <t xml:space="preserve">GS - 001 </t>
  </si>
  <si>
    <t>Game customization</t>
  </si>
  <si>
    <t xml:space="preserve">This component allows the player to customize the game settings and accessibility. </t>
  </si>
  <si>
    <t xml:space="preserve">Status </t>
  </si>
  <si>
    <t>GS - 001 - 1</t>
  </si>
  <si>
    <t xml:space="preserve">Game Settings - Audio Levels </t>
  </si>
  <si>
    <t xml:space="preserve">1. Click the game settings button </t>
  </si>
  <si>
    <t xml:space="preserve">redirected to game settings page 
</t>
  </si>
  <si>
    <t>audio level button and sound effect overlap</t>
  </si>
  <si>
    <t>2. Select Game settings options: 
- audio level 
- sound effects
-graphics quality
- difficulty level</t>
  </si>
  <si>
    <t>display options such as: - audio levels - sound effects - graphics quality - difficulty level</t>
  </si>
  <si>
    <t xml:space="preserve">3. Adjust the audio level using the audio slider to the left and/or to te right </t>
  </si>
  <si>
    <t xml:space="preserve">Min / Max value </t>
  </si>
  <si>
    <t>The slider moves to the left and/or right</t>
  </si>
  <si>
    <t>4. Display min value when the audio slider move to the most left</t>
  </si>
  <si>
    <t>Min</t>
  </si>
  <si>
    <t xml:space="preserve">Display mute icon </t>
  </si>
  <si>
    <t>5. Display max value when the audio slider move to the right most</t>
  </si>
  <si>
    <t xml:space="preserve">Max </t>
  </si>
  <si>
    <t>Alarm Message:
"Maximum Value reach."</t>
  </si>
  <si>
    <t>GS - 001 - 2</t>
  </si>
  <si>
    <t>Game Settings - Sound Effects</t>
  </si>
  <si>
    <t>Passed</t>
  </si>
  <si>
    <t xml:space="preserve">failed </t>
  </si>
  <si>
    <t>Total Test Case</t>
  </si>
  <si>
    <t xml:space="preserve">S - 001 </t>
  </si>
  <si>
    <t xml:space="preserve">Scheduling </t>
  </si>
  <si>
    <t xml:space="preserve">This components allows the user to schedule a gym use. </t>
  </si>
  <si>
    <t xml:space="preserve">User already has an account </t>
  </si>
  <si>
    <t xml:space="preserve">Customer Schedule summary </t>
  </si>
  <si>
    <t xml:space="preserve">1. Click the schedule button </t>
  </si>
  <si>
    <t xml:space="preserve">redirected to the schedule page </t>
  </si>
  <si>
    <t xml:space="preserve">2. Schedule page displays 
- available schedule based on  the calendar 
- available time 
- available slot </t>
  </si>
  <si>
    <t xml:space="preserve">select of schedule </t>
  </si>
  <si>
    <t xml:space="preserve">3. Select available schedule details </t>
  </si>
  <si>
    <t xml:space="preserve">display selected schedule details, 
display message:
"are you sure about the details"
- yes - no </t>
  </si>
  <si>
    <t xml:space="preserve">4. confirm the schedule details by selecting yes or no </t>
  </si>
  <si>
    <t>display message, your schedule is confirmed</t>
  </si>
  <si>
    <t xml:space="preserve">5. review booking details </t>
  </si>
  <si>
    <t>Booking summary:
name:</t>
  </si>
  <si>
    <t xml:space="preserve">display confirm yes or no </t>
  </si>
  <si>
    <t xml:space="preserve">receipt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</si>
</sst>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1.0"/>
      <color rgb="FF000000"/>
      <name val="Docs-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9" xfId="0" applyAlignment="1" applyFont="1" applyNumberFormat="1">
      <alignment horizontal="center" readingOrder="0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0" fillId="0" fontId="1" numFmtId="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horizontal="left" readingOrder="0" shrinkToFit="0" vertical="top" wrapText="1"/>
    </xf>
    <xf borderId="0" fillId="0" fontId="6" numFmtId="0" xfId="0" applyAlignment="1" applyFont="1">
      <alignment readingOrder="0"/>
    </xf>
    <xf borderId="0" fillId="0" fontId="6" numFmtId="0" xfId="0" applyFont="1"/>
    <xf borderId="0" fillId="2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9.86"/>
    <col customWidth="1" min="3" max="3" width="29.14"/>
    <col customWidth="1" min="4" max="4" width="23.0"/>
    <col customWidth="1" min="5" max="5" width="25.0"/>
    <col customWidth="1" min="6" max="6" width="21.57"/>
    <col customWidth="1" min="7" max="7" width="15.71"/>
    <col customWidth="1" min="8" max="8" width="11.29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2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</v>
      </c>
      <c r="B8" s="2"/>
      <c r="C8" s="2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8</v>
      </c>
      <c r="B10" s="3"/>
      <c r="C10" s="3"/>
      <c r="D10" s="3"/>
      <c r="E10" s="3"/>
      <c r="F10" s="3"/>
      <c r="G10" s="3"/>
      <c r="H10" s="3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" t="s">
        <v>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" t="s">
        <v>10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9.86"/>
    <col customWidth="1" min="3" max="3" width="15.14"/>
    <col customWidth="1" min="4" max="4" width="17.71"/>
    <col customWidth="1" min="5" max="5" width="18.86"/>
    <col customWidth="1" min="6" max="6" width="15.0"/>
    <col customWidth="1" min="7" max="7" width="15.71"/>
    <col customWidth="1" min="8" max="8" width="11.29"/>
    <col customWidth="1" min="9" max="9" width="13.86"/>
    <col customWidth="1" min="10" max="26" width="8.71"/>
  </cols>
  <sheetData>
    <row r="1">
      <c r="A1" s="6" t="s">
        <v>12</v>
      </c>
      <c r="B1" s="7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14</v>
      </c>
      <c r="B2" s="7"/>
      <c r="C2" s="7"/>
      <c r="D2" s="8" t="s">
        <v>15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21</v>
      </c>
      <c r="I4" s="9" t="s">
        <v>23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1.0</v>
      </c>
      <c r="B5" s="12" t="s">
        <v>24</v>
      </c>
      <c r="C5" s="11"/>
      <c r="D5" s="11"/>
      <c r="E5" s="11"/>
      <c r="F5" s="13">
        <v>1.0</v>
      </c>
      <c r="G5" s="11"/>
      <c r="H5" s="14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2.0</v>
      </c>
      <c r="B6" s="12" t="s">
        <v>25</v>
      </c>
      <c r="C6" s="11"/>
      <c r="D6" s="11"/>
      <c r="E6" s="11"/>
      <c r="F6" s="13">
        <v>1.0</v>
      </c>
      <c r="G6" s="11"/>
      <c r="H6" s="14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3.0</v>
      </c>
      <c r="B7" s="12" t="s">
        <v>26</v>
      </c>
      <c r="C7" s="11"/>
      <c r="D7" s="11"/>
      <c r="E7" s="11"/>
      <c r="F7" s="13">
        <v>0.5</v>
      </c>
      <c r="G7" s="11"/>
      <c r="H7" s="14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4.0</v>
      </c>
      <c r="B8" s="12" t="s">
        <v>27</v>
      </c>
      <c r="C8" s="11">
        <v>5.0</v>
      </c>
      <c r="D8" s="11">
        <v>3.0</v>
      </c>
      <c r="E8" s="11">
        <v>3.0</v>
      </c>
      <c r="F8" s="13">
        <v>0.95</v>
      </c>
      <c r="G8" s="11">
        <v>2.0</v>
      </c>
      <c r="H8" s="14">
        <f>G8/D8</f>
        <v>0.6666666667</v>
      </c>
      <c r="I8" s="10" t="str">
        <f>IF(E8=D8,"PASSED","FAILED")</f>
        <v>PASSED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9" t="s">
        <v>28</v>
      </c>
      <c r="C9" s="9">
        <f t="shared" ref="C9:E9" si="1">SUM(C8)</f>
        <v>5</v>
      </c>
      <c r="D9" s="9">
        <f t="shared" si="1"/>
        <v>3</v>
      </c>
      <c r="E9" s="9">
        <f t="shared" si="1"/>
        <v>3</v>
      </c>
      <c r="F9" s="15">
        <f>average(F5:F8)</f>
        <v>0.8625</v>
      </c>
      <c r="G9" s="9">
        <f>SUM(G8)</f>
        <v>2</v>
      </c>
      <c r="H9" s="15">
        <f>AVERAGE(H8)</f>
        <v>0.6666666667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9"/>
      <c r="G16" s="9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/>
      <c r="B17" s="7"/>
      <c r="C17" s="7"/>
      <c r="D17" s="7"/>
      <c r="E17" s="7"/>
      <c r="F17" s="9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conditionalFormatting sqref="G1:G3 G5:G8 G10:G1001">
    <cfRule type="containsText" dxfId="0" priority="1" operator="containsText" text="FAILED">
      <formula>NOT(ISERROR(SEARCH(("FAILED"),(G1))))</formula>
    </cfRule>
  </conditionalFormatting>
  <conditionalFormatting sqref="I1:I1001">
    <cfRule type="containsText" dxfId="0" priority="2" operator="containsText" text="FAILED">
      <formula>NOT(ISERROR(SEARCH(("FAILED"),(I1))))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9.86"/>
    <col customWidth="1" min="3" max="3" width="27.0"/>
    <col customWidth="1" min="4" max="4" width="26.29"/>
    <col customWidth="1" min="5" max="5" width="25.0"/>
    <col customWidth="1" min="6" max="6" width="21.57"/>
    <col customWidth="1" min="7" max="7" width="15.71"/>
    <col customWidth="1" min="8" max="8" width="11.29"/>
    <col customWidth="1" min="9" max="26" width="8.71"/>
  </cols>
  <sheetData>
    <row r="1">
      <c r="A1" s="1" t="s">
        <v>29</v>
      </c>
      <c r="B1" s="16" t="s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31</v>
      </c>
      <c r="B2" s="16" t="s">
        <v>32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33</v>
      </c>
      <c r="B3" s="16" t="s">
        <v>34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35</v>
      </c>
      <c r="B4" s="16" t="s">
        <v>36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37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14</v>
      </c>
      <c r="B6" s="16" t="s">
        <v>38</v>
      </c>
      <c r="C6" s="2"/>
      <c r="D6" s="1" t="s">
        <v>15</v>
      </c>
      <c r="E6" s="17">
        <v>45607.0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39</v>
      </c>
      <c r="B7" s="16" t="s">
        <v>40</v>
      </c>
      <c r="C7" s="2"/>
      <c r="D7" s="1" t="s">
        <v>15</v>
      </c>
      <c r="E7" s="17">
        <v>45608.0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 t="s">
        <v>48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8" t="s">
        <v>49</v>
      </c>
      <c r="B10" s="18" t="s">
        <v>50</v>
      </c>
      <c r="C10" s="18" t="s">
        <v>51</v>
      </c>
      <c r="D10" s="4"/>
      <c r="E10" s="18" t="s">
        <v>52</v>
      </c>
      <c r="F10" s="18" t="s">
        <v>53</v>
      </c>
      <c r="G10" s="18" t="s">
        <v>54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8" t="s">
        <v>55</v>
      </c>
      <c r="D11" s="18" t="s">
        <v>56</v>
      </c>
      <c r="E11" s="4" t="s">
        <v>57</v>
      </c>
      <c r="F11" s="18" t="s">
        <v>58</v>
      </c>
      <c r="G11" s="18" t="s">
        <v>54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8" t="s">
        <v>59</v>
      </c>
      <c r="D12" s="4"/>
      <c r="E12" s="4" t="s">
        <v>60</v>
      </c>
      <c r="F12" s="18" t="s">
        <v>61</v>
      </c>
      <c r="G12" s="18" t="s">
        <v>62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8" t="s">
        <v>63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8" t="s">
        <v>64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18" t="s">
        <v>65</v>
      </c>
      <c r="D15" s="4"/>
      <c r="E15" s="4"/>
      <c r="F15" s="4"/>
      <c r="G15" s="18" t="s">
        <v>66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18">
        <v>6.0</v>
      </c>
      <c r="D16" s="4"/>
      <c r="E16" s="4"/>
      <c r="F16" s="4"/>
      <c r="G16" s="18" t="s">
        <v>67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18">
        <v>7.0</v>
      </c>
      <c r="D17" s="4"/>
      <c r="E17" s="4"/>
      <c r="F17" s="4"/>
      <c r="G17" s="18" t="s">
        <v>67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3" t="s">
        <v>68</v>
      </c>
      <c r="G19" s="3">
        <f>COUNTA(G10:G18)</f>
        <v>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3" t="s">
        <v>69</v>
      </c>
      <c r="G20" s="3">
        <f>COUNTIF($G$10:$G$18,"PASSED")</f>
        <v>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3" t="s">
        <v>70</v>
      </c>
      <c r="G21" s="3">
        <f>COUNTIF($G$10:$G$18,"FAILED")</f>
        <v>1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2"/>
      <c r="B22" s="2"/>
      <c r="C22" s="2"/>
      <c r="D22" s="2"/>
      <c r="E22" s="2"/>
      <c r="F22" s="3" t="s">
        <v>23</v>
      </c>
      <c r="G22" s="19" t="str">
        <f>IF(G20=G19,"PASSED","FAILED")</f>
        <v>FAILED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>
        <f>G20/3*100</f>
        <v>66.66666667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conditionalFormatting sqref="G1:G1001">
    <cfRule type="containsText" dxfId="0" priority="1" operator="containsText" text="FAILED">
      <formula>NOT(ISERROR(SEARCH(("FAILED"),(G1))))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9.86"/>
    <col customWidth="1" min="3" max="3" width="27.0"/>
    <col customWidth="1" min="4" max="4" width="26.29"/>
    <col customWidth="1" min="5" max="5" width="25.0"/>
    <col customWidth="1" min="6" max="6" width="21.57"/>
    <col customWidth="1" min="7" max="8" width="15.71"/>
    <col customWidth="1" min="9" max="9" width="11.29"/>
    <col customWidth="1" min="10" max="27" width="8.71"/>
  </cols>
  <sheetData>
    <row r="1">
      <c r="A1" s="1" t="s">
        <v>29</v>
      </c>
      <c r="B1" s="16" t="s">
        <v>71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31</v>
      </c>
      <c r="B2" s="16" t="s">
        <v>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33</v>
      </c>
      <c r="B3" s="20" t="s">
        <v>73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35</v>
      </c>
      <c r="B4" s="16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37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14</v>
      </c>
      <c r="B6" s="16" t="s">
        <v>38</v>
      </c>
      <c r="C6" s="2"/>
      <c r="D6" s="1" t="s">
        <v>15</v>
      </c>
      <c r="E6" s="17">
        <v>45607.0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39</v>
      </c>
      <c r="B7" s="16" t="s">
        <v>40</v>
      </c>
      <c r="C7" s="2"/>
      <c r="D7" s="1" t="s">
        <v>15</v>
      </c>
      <c r="E7" s="17">
        <v>45608.0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21" t="s">
        <v>47</v>
      </c>
      <c r="H9" s="21" t="s">
        <v>74</v>
      </c>
      <c r="I9" s="3" t="s">
        <v>48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8" t="s">
        <v>75</v>
      </c>
      <c r="B10" s="18" t="s">
        <v>76</v>
      </c>
      <c r="C10" s="18" t="s">
        <v>77</v>
      </c>
      <c r="D10" s="4"/>
      <c r="E10" s="18" t="s">
        <v>78</v>
      </c>
      <c r="F10" s="18" t="s">
        <v>78</v>
      </c>
      <c r="G10" s="18" t="s">
        <v>79</v>
      </c>
      <c r="H10" s="18" t="s">
        <v>62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18" t="s">
        <v>80</v>
      </c>
      <c r="D11" s="18"/>
      <c r="E11" s="22" t="s">
        <v>81</v>
      </c>
      <c r="F11" s="22" t="s">
        <v>81</v>
      </c>
      <c r="G11" s="18" t="s">
        <v>79</v>
      </c>
      <c r="H11" s="18" t="s">
        <v>62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18" t="s">
        <v>82</v>
      </c>
      <c r="D12" s="18" t="s">
        <v>83</v>
      </c>
      <c r="E12" s="18" t="s">
        <v>84</v>
      </c>
      <c r="F12" s="18" t="s">
        <v>84</v>
      </c>
      <c r="G12" s="18"/>
      <c r="H12" s="18" t="s">
        <v>54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18" t="s">
        <v>85</v>
      </c>
      <c r="D13" s="18" t="s">
        <v>86</v>
      </c>
      <c r="E13" s="18" t="s">
        <v>87</v>
      </c>
      <c r="F13" s="18" t="s">
        <v>87</v>
      </c>
      <c r="G13" s="4"/>
      <c r="H13" s="18" t="s">
        <v>54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18" t="s">
        <v>88</v>
      </c>
      <c r="D14" s="18" t="s">
        <v>89</v>
      </c>
      <c r="E14" s="18" t="s">
        <v>90</v>
      </c>
      <c r="F14" s="18" t="s">
        <v>90</v>
      </c>
      <c r="G14" s="4"/>
      <c r="H14" s="18" t="s">
        <v>54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8" t="s">
        <v>91</v>
      </c>
      <c r="B15" s="18" t="s">
        <v>92</v>
      </c>
      <c r="C15" s="18" t="s">
        <v>77</v>
      </c>
      <c r="D15" s="4"/>
      <c r="E15" s="18" t="s">
        <v>78</v>
      </c>
      <c r="G15" s="23" t="s">
        <v>93</v>
      </c>
      <c r="H15" s="23">
        <v>3.0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18" t="s">
        <v>80</v>
      </c>
      <c r="D16" s="18"/>
      <c r="E16" s="22" t="s">
        <v>81</v>
      </c>
      <c r="G16" s="23" t="s">
        <v>94</v>
      </c>
      <c r="H16" s="23">
        <v>2.0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18" t="s">
        <v>82</v>
      </c>
      <c r="D17" s="18" t="s">
        <v>83</v>
      </c>
      <c r="E17" s="18" t="s">
        <v>84</v>
      </c>
      <c r="G17" s="23" t="s">
        <v>95</v>
      </c>
      <c r="H17" s="23">
        <v>5.0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18" t="s">
        <v>85</v>
      </c>
      <c r="D18" s="18" t="s">
        <v>86</v>
      </c>
      <c r="E18" s="18" t="s">
        <v>87</v>
      </c>
      <c r="H18" s="24">
        <f>H15/H17*100</f>
        <v>60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18" t="s">
        <v>88</v>
      </c>
      <c r="D19" s="18" t="s">
        <v>89</v>
      </c>
      <c r="E19" s="18" t="s">
        <v>90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3" t="s">
        <v>68</v>
      </c>
      <c r="G20" s="3"/>
      <c r="H20" s="3" t="str">
        <f>COUNTA(H10:H44)</f>
        <v>#REF!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2"/>
      <c r="B21" s="2"/>
      <c r="C21" s="2"/>
      <c r="D21" s="2"/>
      <c r="E21" s="2"/>
      <c r="F21" s="3" t="s">
        <v>69</v>
      </c>
      <c r="G21" s="3"/>
      <c r="H21" s="3" t="str">
        <f>COUNTIF($H$10:$H$44,"PASSED")</f>
        <v>#REF!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3" t="s">
        <v>70</v>
      </c>
      <c r="G22" s="3"/>
      <c r="H22" s="3" t="str">
        <f>COUNTIF($H$10:$H$44,"FAILED")</f>
        <v>#REF!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3" t="s">
        <v>23</v>
      </c>
      <c r="G23" s="19"/>
      <c r="H23" s="19" t="str">
        <f>IF(H21=H20,"PASSED","FAILED")</f>
        <v>#REF!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 t="str">
        <f>H21/3*100</f>
        <v>#REF!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4"/>
      <c r="G42" s="18"/>
      <c r="H42" s="1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4"/>
      <c r="G43" s="18"/>
      <c r="H43" s="1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4"/>
      <c r="G44" s="4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G1:H1000">
    <cfRule type="containsText" dxfId="0" priority="1" operator="containsText" text="FAILED">
      <formula>NOT(ISERROR(SEARCH(("FAILED"),(G1))))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9.86"/>
    <col customWidth="1" min="3" max="3" width="27.0"/>
    <col customWidth="1" min="4" max="4" width="26.29"/>
    <col customWidth="1" min="5" max="5" width="25.0"/>
    <col customWidth="1" min="6" max="6" width="21.57"/>
    <col customWidth="1" min="7" max="8" width="15.71"/>
    <col customWidth="1" min="9" max="9" width="11.29"/>
    <col customWidth="1" min="10" max="27" width="8.71"/>
  </cols>
  <sheetData>
    <row r="1">
      <c r="A1" s="1" t="s">
        <v>29</v>
      </c>
      <c r="B1" s="16" t="s">
        <v>96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31</v>
      </c>
      <c r="B2" s="16" t="s">
        <v>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33</v>
      </c>
      <c r="B3" s="20" t="s">
        <v>98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" t="s">
        <v>35</v>
      </c>
      <c r="B4" s="16" t="s">
        <v>99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" t="s">
        <v>37</v>
      </c>
      <c r="B5" s="16" t="s">
        <v>100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" t="s">
        <v>14</v>
      </c>
      <c r="B6" s="16" t="s">
        <v>38</v>
      </c>
      <c r="C6" s="2"/>
      <c r="D6" s="1" t="s">
        <v>15</v>
      </c>
      <c r="E6" s="17">
        <v>45607.0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 t="s">
        <v>39</v>
      </c>
      <c r="B7" s="16" t="s">
        <v>40</v>
      </c>
      <c r="C7" s="2"/>
      <c r="D7" s="1" t="s">
        <v>15</v>
      </c>
      <c r="E7" s="17">
        <v>45608.0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41</v>
      </c>
      <c r="B9" s="3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21" t="s">
        <v>47</v>
      </c>
      <c r="H9" s="21" t="s">
        <v>74</v>
      </c>
      <c r="I9" s="3" t="s">
        <v>48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8">
        <v>1.0</v>
      </c>
      <c r="B10" s="18" t="s">
        <v>97</v>
      </c>
      <c r="C10" s="18" t="s">
        <v>101</v>
      </c>
      <c r="D10" s="4"/>
      <c r="E10" s="18" t="s">
        <v>102</v>
      </c>
      <c r="F10" s="18"/>
      <c r="G10" s="18"/>
      <c r="H10" s="18" t="s">
        <v>54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18" t="s">
        <v>103</v>
      </c>
      <c r="D11" s="18"/>
      <c r="E11" s="25" t="s">
        <v>104</v>
      </c>
      <c r="F11" s="22"/>
      <c r="G11" s="18"/>
      <c r="H11" s="18" t="s">
        <v>62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18" t="s">
        <v>105</v>
      </c>
      <c r="D12" s="18"/>
      <c r="E12" s="18" t="s">
        <v>106</v>
      </c>
      <c r="F12" s="18"/>
      <c r="G12" s="18"/>
      <c r="H12" s="18" t="s">
        <v>54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18" t="s">
        <v>107</v>
      </c>
      <c r="D13" s="18"/>
      <c r="E13" s="18" t="s">
        <v>108</v>
      </c>
      <c r="F13" s="18"/>
      <c r="G13" s="4"/>
      <c r="H13" s="18" t="s">
        <v>54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18" t="s">
        <v>109</v>
      </c>
      <c r="D14" s="18" t="s">
        <v>110</v>
      </c>
      <c r="E14" s="18" t="s">
        <v>111</v>
      </c>
      <c r="F14" s="18"/>
      <c r="G14" s="4"/>
      <c r="H14" s="18" t="s">
        <v>54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8"/>
      <c r="B15" s="18"/>
      <c r="C15" s="18">
        <v>6.0</v>
      </c>
      <c r="D15" s="4"/>
      <c r="E15" s="18" t="s">
        <v>112</v>
      </c>
      <c r="G15" s="23" t="s">
        <v>93</v>
      </c>
      <c r="H15" s="23">
        <v>3.0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18"/>
      <c r="D16" s="18"/>
      <c r="E16" s="22"/>
      <c r="G16" s="23" t="s">
        <v>94</v>
      </c>
      <c r="H16" s="23">
        <v>2.0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18"/>
      <c r="D17" s="18"/>
      <c r="E17" s="18"/>
      <c r="G17" s="23" t="s">
        <v>95</v>
      </c>
      <c r="H17" s="23">
        <v>5.0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18"/>
      <c r="D18" s="18"/>
      <c r="E18" s="18"/>
      <c r="H18" s="24">
        <f>H15/H17*100</f>
        <v>60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18"/>
      <c r="D19" s="18"/>
      <c r="E19" s="1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3" t="s">
        <v>68</v>
      </c>
      <c r="G20" s="3"/>
      <c r="H20" s="3" t="str">
        <f>COUNTA(H10:H44)</f>
        <v>#REF!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2"/>
      <c r="B21" s="2"/>
      <c r="C21" s="2"/>
      <c r="D21" s="2"/>
      <c r="E21" s="2"/>
      <c r="F21" s="3" t="s">
        <v>69</v>
      </c>
      <c r="G21" s="3"/>
      <c r="H21" s="3" t="str">
        <f>COUNTIF($H$10:$H$44,"PASSED")</f>
        <v>#REF!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2"/>
      <c r="E22" s="2"/>
      <c r="F22" s="3" t="s">
        <v>70</v>
      </c>
      <c r="G22" s="3"/>
      <c r="H22" s="3" t="str">
        <f>COUNTIF($H$10:$H$44,"FAILED")</f>
        <v>#REF!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2"/>
      <c r="E23" s="2"/>
      <c r="F23" s="3" t="s">
        <v>23</v>
      </c>
      <c r="G23" s="19"/>
      <c r="H23" s="19" t="str">
        <f>IF(H21=H20,"PASSED","FAILED")</f>
        <v>#REF!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2"/>
      <c r="E24" s="2"/>
      <c r="F24" s="2"/>
      <c r="G24" s="2"/>
      <c r="H24" s="2" t="str">
        <f>H21/3*100</f>
        <v>#REF!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4"/>
      <c r="G42" s="18"/>
      <c r="H42" s="1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4"/>
      <c r="G43" s="18"/>
      <c r="H43" s="1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4"/>
      <c r="G44" s="4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G1:H1000">
    <cfRule type="containsText" dxfId="0" priority="1" operator="containsText" text="FAILED">
      <formula>NOT(ISERROR(SEARCH(("FAILED"),(G1))))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2023-05-04T06:35:34Z</dcterms:created>
  <dc:creator>Era Marie Gannaban</dc:creator>
</cp:coreProperties>
</file>